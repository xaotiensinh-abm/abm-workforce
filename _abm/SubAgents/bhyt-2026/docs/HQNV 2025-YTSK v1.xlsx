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/>
  <mc:AlternateContent xmlns:mc="http://schemas.openxmlformats.org/markup-compatibility/2006">
    <mc:Choice Requires="x15">
      <x15ac:absPath xmlns:x15ac="http://schemas.microsoft.com/office/spreadsheetml/2010/11/ac" url="C:\Users\nguyenthaison\Desktop\Final tính HQ\Hiệu quả_Final\"/>
    </mc:Choice>
  </mc:AlternateContent>
  <xr:revisionPtr revIDLastSave="0" documentId="11_AB32B38C0D50FD457323467955949193CF915B68" xr6:coauthVersionLast="47" xr6:coauthVersionMax="47" xr10:uidLastSave="{00000000-0000-0000-0000-000000000000}"/>
  <bookViews>
    <workbookView xWindow="0" yWindow="0" windowWidth="28800" windowHeight="12345" firstSheet="1" activeTab="1" xr2:uid="{00000000-000D-0000-FFFF-FFFF00000000}"/>
  </bookViews>
  <sheets>
    <sheet name="HQNV 2025 QT" sheetId="1" r:id="rId1"/>
    <sheet name="HQNV 2025 KH" sheetId="2" r:id="rId2"/>
  </sheets>
  <definedNames>
    <definedName name="_xlnm.Print_Titles" localSheetId="1">'HQNV 2025 KH'!$4:$4</definedName>
    <definedName name="_xlnm.Print_Titles" localSheetId="0">'HQNV 2025 QT'!$4:$4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C19" i="1"/>
  <c r="C16" i="1" s="1"/>
  <c r="D56" i="2" l="1"/>
  <c r="C56" i="2"/>
  <c r="D51" i="2"/>
  <c r="C51" i="2"/>
  <c r="D49" i="2"/>
  <c r="D50" i="2" s="1"/>
  <c r="C49" i="2"/>
  <c r="C50" i="2" s="1"/>
  <c r="D43" i="2"/>
  <c r="C43" i="2"/>
  <c r="D36" i="2"/>
  <c r="D37" i="2" s="1"/>
  <c r="C36" i="2"/>
  <c r="C37" i="2" s="1"/>
  <c r="D32" i="2"/>
  <c r="C32" i="2"/>
  <c r="C33" i="2" s="1"/>
  <c r="D27" i="2"/>
  <c r="C27" i="2"/>
  <c r="D24" i="2"/>
  <c r="D20" i="2" s="1"/>
  <c r="C24" i="2"/>
  <c r="C20" i="2" s="1"/>
  <c r="D23" i="2"/>
  <c r="C23" i="2"/>
  <c r="D16" i="2"/>
  <c r="D12" i="2"/>
  <c r="C12" i="2"/>
  <c r="D9" i="2"/>
  <c r="D15" i="2" s="1"/>
  <c r="D7" i="2" s="1"/>
  <c r="C9" i="2"/>
  <c r="C47" i="2" l="1"/>
  <c r="C48" i="2" s="1"/>
  <c r="D47" i="2"/>
  <c r="D48" i="2" s="1"/>
  <c r="C30" i="2"/>
  <c r="C31" i="2" s="1"/>
  <c r="D30" i="2"/>
  <c r="D31" i="2" s="1"/>
  <c r="C15" i="2"/>
  <c r="C7" i="2" s="1"/>
  <c r="C5" i="2" s="1"/>
  <c r="C57" i="2" s="1"/>
  <c r="C8" i="2"/>
  <c r="D5" i="2"/>
  <c r="D8" i="2"/>
  <c r="D21" i="2"/>
  <c r="D58" i="2"/>
  <c r="C58" i="2"/>
  <c r="C60" i="2"/>
  <c r="D33" i="2"/>
  <c r="C21" i="2"/>
  <c r="C63" i="2"/>
  <c r="D63" i="2" l="1"/>
  <c r="D57" i="2"/>
  <c r="D62" i="2" s="1"/>
  <c r="D6" i="2"/>
  <c r="C62" i="2"/>
  <c r="C6" i="2"/>
  <c r="D64" i="1" l="1"/>
  <c r="C64" i="1"/>
  <c r="D63" i="1"/>
  <c r="C63" i="1"/>
  <c r="D57" i="1"/>
  <c r="D49" i="1" s="1"/>
  <c r="C57" i="1"/>
  <c r="C49" i="1" s="1"/>
  <c r="D43" i="1"/>
  <c r="C43" i="1"/>
  <c r="D36" i="1"/>
  <c r="D37" i="1" s="1"/>
  <c r="C36" i="1"/>
  <c r="C37" i="1" s="1"/>
  <c r="D32" i="1"/>
  <c r="C32" i="1"/>
  <c r="D27" i="1"/>
  <c r="C27" i="1"/>
  <c r="D24" i="1"/>
  <c r="D20" i="1" s="1"/>
  <c r="C24" i="1"/>
  <c r="D23" i="1"/>
  <c r="C23" i="1"/>
  <c r="D16" i="1"/>
  <c r="D12" i="1"/>
  <c r="C12" i="1"/>
  <c r="D9" i="1"/>
  <c r="D15" i="1" s="1"/>
  <c r="D7" i="1" s="1"/>
  <c r="C9" i="1"/>
  <c r="C30" i="1" l="1"/>
  <c r="C31" i="1" s="1"/>
  <c r="D30" i="1"/>
  <c r="D31" i="1" s="1"/>
  <c r="C15" i="1"/>
  <c r="C7" i="1" s="1"/>
  <c r="C20" i="1"/>
  <c r="D5" i="1"/>
  <c r="D8" i="1"/>
  <c r="D47" i="1"/>
  <c r="D48" i="1" s="1"/>
  <c r="D50" i="1"/>
  <c r="D21" i="1"/>
  <c r="C50" i="1"/>
  <c r="C47" i="1"/>
  <c r="C48" i="1" s="1"/>
  <c r="C33" i="1"/>
  <c r="D33" i="1"/>
  <c r="C66" i="1" l="1"/>
  <c r="C5" i="1"/>
  <c r="C21" i="1"/>
  <c r="C8" i="1"/>
  <c r="D66" i="1"/>
  <c r="D6" i="1"/>
  <c r="D65" i="1"/>
  <c r="C6" i="1"/>
  <c r="C65" i="1"/>
</calcChain>
</file>

<file path=xl/sharedStrings.xml><?xml version="1.0" encoding="utf-8"?>
<sst xmlns="http://schemas.openxmlformats.org/spreadsheetml/2006/main" count="201" uniqueCount="92">
  <si>
    <t>BÁO CÁO HIỆU QUẢ NGHIỆP VỤ BẢO HIỂM NĂM 2025 - QUYÊT TOÁN CHÍNH THỨC</t>
  </si>
  <si>
    <t>Stt</t>
  </si>
  <si>
    <t>Chỉ tiêu</t>
  </si>
  <si>
    <t>Số liệu quyết toán năm 2025 (Phản ánh toàn bộ chi phí chung)</t>
  </si>
  <si>
    <t>Y tế</t>
  </si>
  <si>
    <t>Du lịch</t>
  </si>
  <si>
    <t>A</t>
  </si>
  <si>
    <t>LỢI NHUẬN GỘP</t>
  </si>
  <si>
    <t>Tỷ lệ / Phí gốc</t>
  </si>
  <si>
    <t>I</t>
  </si>
  <si>
    <t>Doanh thu thuần</t>
  </si>
  <si>
    <t>Doanh thu phí bảo hiểm</t>
  </si>
  <si>
    <t>-</t>
  </si>
  <si>
    <t>Phí bảo hiểm gốc</t>
  </si>
  <si>
    <t>Dự phòng phí bảo hiểm gốc</t>
  </si>
  <si>
    <t>Phí nhượng tái bảo hiểm</t>
  </si>
  <si>
    <t>Tổng phí nhượng tái bảo hiểm</t>
  </si>
  <si>
    <t>Dự phòng phí nhượng tái bảo hiểm</t>
  </si>
  <si>
    <t>Doanh thu phí được hưởng = (1) - (2)</t>
  </si>
  <si>
    <t>Hoa hồng nhượng tái và doanh thu khác</t>
  </si>
  <si>
    <t>Hoa hồng nhượng tái bảo hiểm</t>
  </si>
  <si>
    <t>Thu khác kinh doanh bảo hiểm</t>
  </si>
  <si>
    <t>Thu phần chiết khấu thanh toán</t>
  </si>
  <si>
    <t>II</t>
  </si>
  <si>
    <t>Chi bồi thường thuộc trách nhiệm</t>
  </si>
  <si>
    <t>Tỷ lệ tổn thất / Phí được hưởng</t>
  </si>
  <si>
    <t>Chi bồi thường bảo hiểm gốc</t>
  </si>
  <si>
    <t>Các khoản giảm trừ</t>
  </si>
  <si>
    <t>Thu bồi thường nhượng tái bảo hiểm</t>
  </si>
  <si>
    <t>Các khoản giảm trừ khác</t>
  </si>
  <si>
    <t>Dự phòng bồi thường</t>
  </si>
  <si>
    <t>Dự phòng bồi thường gốc</t>
  </si>
  <si>
    <t>Dự phòng bồi thường nhượng tái</t>
  </si>
  <si>
    <t>B</t>
  </si>
  <si>
    <t>CHI PHÍ KINH DOANH</t>
  </si>
  <si>
    <t>Chi phí tiền lương</t>
  </si>
  <si>
    <t>Tiền lương doanh thu - CTTV</t>
  </si>
  <si>
    <t>Tiền lương doanh thu - Ban KD TSC</t>
  </si>
  <si>
    <t>Chi phí khai thác</t>
  </si>
  <si>
    <t>Chi hoa hồng đại lý, môi giới</t>
  </si>
  <si>
    <t>Chi hỗ trợ đại lý theo định mức</t>
  </si>
  <si>
    <t>Chi bán hàng theo định mức</t>
  </si>
  <si>
    <t>Chi đề phòng hạn chế tổn thất</t>
  </si>
  <si>
    <t>Chi giám định, đánh giá rủi ro và chi khác</t>
  </si>
  <si>
    <t>III</t>
  </si>
  <si>
    <t>Chi phí hoạt động theo định mức</t>
  </si>
  <si>
    <t>Chi hoạt động giao CTTV</t>
  </si>
  <si>
    <t>Chi hoạt động các Ban KD TSC</t>
  </si>
  <si>
    <t>IV</t>
  </si>
  <si>
    <t>Tiết kiệm/vượt định mức chi phí</t>
  </si>
  <si>
    <t>C</t>
  </si>
  <si>
    <t>CHI PHÍ PHÂN BỔ</t>
  </si>
  <si>
    <t>Chi phí liên quan đến nghiệp vụ</t>
  </si>
  <si>
    <t>1.1</t>
  </si>
  <si>
    <t>Tiền lương Giám đốc CTTV</t>
  </si>
  <si>
    <t>1.2</t>
  </si>
  <si>
    <t>Tiền lương PGĐ</t>
  </si>
  <si>
    <t>1.3</t>
  </si>
  <si>
    <t>Tiền lương TP Kế toán</t>
  </si>
  <si>
    <t>1.4</t>
  </si>
  <si>
    <t>Tiền lương Ban QLNV và GĐBT</t>
  </si>
  <si>
    <t>1.5</t>
  </si>
  <si>
    <t>Chi hoạt động Ban QLNV và GĐBT</t>
  </si>
  <si>
    <t>1.6</t>
  </si>
  <si>
    <t>Các khoản trích theo lương (BHXH, BHYT, KPCĐ, BHTN) theo quy định</t>
  </si>
  <si>
    <t>1.7</t>
  </si>
  <si>
    <t>Chi khác liên quan đến nghiệp vụ</t>
  </si>
  <si>
    <t xml:space="preserve">Khoản đóng góp cho Quỹ xe cơ giới </t>
  </si>
  <si>
    <t>Khoản đóng góp phòng cháy chữa cháy</t>
  </si>
  <si>
    <t>Quỹ đóng góp cho cục QLGS</t>
  </si>
  <si>
    <t>Chi khác theo nghiệp vụ</t>
  </si>
  <si>
    <t>Chi phí chung</t>
  </si>
  <si>
    <t>D</t>
  </si>
  <si>
    <t>DỰ PHÒNG GIAO ĐỘNG LỚN</t>
  </si>
  <si>
    <t>E</t>
  </si>
  <si>
    <t>HQNV THỰC TẾ</t>
  </si>
  <si>
    <t>Tỷ lệ chi phí kết hợp (CR)</t>
  </si>
  <si>
    <t>BÁO CÁO HIỆU QUẢ NGHIỆP VỤ BẢO HIỂM NĂM 2025 - THEO KẾ HOẠCH ĐẦU NĂM VỚI CHI PHÍ CHUNG 7%</t>
  </si>
  <si>
    <t>Đơn vị: Triệu đồng</t>
  </si>
  <si>
    <t>Hiệu quả theo kế hoạch giao đầu  năm (Chi phí chung 7%)</t>
  </si>
  <si>
    <t>Đã bao gồm admin fee + Broker fee của Pool Maxis</t>
  </si>
  <si>
    <t>Đã gồm Thu dvu TPA: 3.8tỷ và thu đòi Hồng Ngọc 3tỷ</t>
  </si>
  <si>
    <t>Thu khác( phần chiết khấu thanh toán của BV Hồng Ngọc)</t>
  </si>
  <si>
    <t>Trao đổi lại phần lương của Ban KD</t>
  </si>
  <si>
    <t>Trao đổi lại phần này</t>
  </si>
  <si>
    <t>Chi phí chung (7%)</t>
  </si>
  <si>
    <t>Trao đổi lại phần này (7% phí giữ lại chứ ko phải phí gốc)</t>
  </si>
  <si>
    <t>Chi du lịch bao gồm các chi phí cho đối tác</t>
  </si>
  <si>
    <t>HQNV THEO KẾ HOẠCH</t>
  </si>
  <si>
    <t>Điều chỉnh yếu tố bất thường năm 2025</t>
  </si>
  <si>
    <t>F</t>
  </si>
  <si>
    <t>HQNV ĐIỀU CHỈNH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</si>
</sst>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_(* #,##0_);_(* \(#,##0\);_(* &quot;-&quot;??_);_(@_)"/>
    <numFmt numFmtId="165" formatCode="0.0%"/>
    <numFmt numFmtId="166" formatCode="_-* #,##0.00\ _₫_-;\-* #,##0.00\ _₫_-;_-* &quot;-&quot;??\ _₫_-;_-@_-"/>
  </numFmts>
  <fonts count="15">
    <font>
      <sz val="11"/>
      <color theme="1"/>
      <name val="Arial"/>
      <family val="2"/>
    </font>
    <font>
      <sz val="11"/>
      <color theme="1"/>
      <name val="Arial"/>
      <family val="2"/>
    </font>
    <font>
      <b/>
      <sz val="16"/>
      <color rgb="FF0000FF"/>
      <name val="Times New Roman"/>
      <family val="1"/>
    </font>
    <font>
      <sz val="16"/>
      <color rgb="FF0000FF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rgb="FF0000FF"/>
      <name val="Times New Roman"/>
      <family val="1"/>
    </font>
    <font>
      <sz val="12"/>
      <color rgb="FF0000FF"/>
      <name val="Times New Roman"/>
      <family val="1"/>
    </font>
    <font>
      <b/>
      <i/>
      <sz val="12"/>
      <color rgb="FF0000FF"/>
      <name val="Times New Roman"/>
      <family val="1"/>
    </font>
    <font>
      <sz val="10"/>
      <name val="Arial"/>
      <family val="2"/>
    </font>
    <font>
      <b/>
      <i/>
      <sz val="12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b/>
      <i/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10" fillId="0" borderId="0"/>
    <xf numFmtId="0" fontId="10" fillId="0" borderId="0"/>
  </cellStyleXfs>
  <cellXfs count="6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64" fontId="6" fillId="2" borderId="1" xfId="3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justify" vertical="center"/>
    </xf>
    <xf numFmtId="3" fontId="7" fillId="3" borderId="1" xfId="0" applyNumberFormat="1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2" fontId="9" fillId="0" borderId="1" xfId="4" applyNumberFormat="1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justify" vertical="center"/>
    </xf>
    <xf numFmtId="3" fontId="6" fillId="3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2" fontId="11" fillId="0" borderId="1" xfId="4" applyNumberFormat="1" applyFont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/>
    </xf>
    <xf numFmtId="3" fontId="4" fillId="0" borderId="1" xfId="0" applyNumberFormat="1" applyFont="1" applyBorder="1" applyAlignment="1">
      <alignment horizontal="right" vertical="center"/>
    </xf>
    <xf numFmtId="2" fontId="4" fillId="0" borderId="1" xfId="4" applyNumberFormat="1" applyFont="1" applyBorder="1" applyAlignment="1">
      <alignment horizontal="left" vertical="center" wrapText="1"/>
    </xf>
    <xf numFmtId="3" fontId="4" fillId="0" borderId="1" xfId="1" applyNumberFormat="1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/>
    </xf>
    <xf numFmtId="3" fontId="4" fillId="0" borderId="0" xfId="0" applyNumberFormat="1" applyFont="1" applyAlignment="1">
      <alignment vertical="center"/>
    </xf>
    <xf numFmtId="41" fontId="4" fillId="0" borderId="1" xfId="5" applyNumberFormat="1" applyFont="1" applyBorder="1" applyAlignment="1">
      <alignment vertical="center"/>
    </xf>
    <xf numFmtId="2" fontId="11" fillId="0" borderId="1" xfId="4" applyNumberFormat="1" applyFont="1" applyBorder="1" applyAlignment="1">
      <alignment vertical="center" wrapText="1"/>
    </xf>
    <xf numFmtId="3" fontId="11" fillId="0" borderId="1" xfId="0" applyNumberFormat="1" applyFont="1" applyBorder="1" applyAlignment="1">
      <alignment horizontal="right" vertical="center"/>
    </xf>
    <xf numFmtId="2" fontId="4" fillId="0" borderId="1" xfId="4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65" fontId="11" fillId="0" borderId="1" xfId="2" applyNumberFormat="1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/>
    </xf>
    <xf numFmtId="165" fontId="9" fillId="0" borderId="1" xfId="2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2" fontId="6" fillId="0" borderId="1" xfId="4" applyNumberFormat="1" applyFont="1" applyBorder="1" applyAlignment="1">
      <alignment vertical="center" wrapText="1"/>
    </xf>
    <xf numFmtId="3" fontId="6" fillId="0" borderId="1" xfId="0" applyNumberFormat="1" applyFont="1" applyBorder="1" applyAlignment="1">
      <alignment horizontal="right" vertical="center"/>
    </xf>
    <xf numFmtId="165" fontId="11" fillId="0" borderId="1" xfId="2" applyNumberFormat="1" applyFont="1" applyFill="1" applyBorder="1" applyAlignment="1">
      <alignment vertical="center"/>
    </xf>
    <xf numFmtId="3" fontId="8" fillId="0" borderId="0" xfId="0" applyNumberFormat="1" applyFont="1" applyAlignment="1">
      <alignment vertical="center"/>
    </xf>
    <xf numFmtId="0" fontId="9" fillId="3" borderId="1" xfId="0" applyFont="1" applyFill="1" applyBorder="1" applyAlignment="1">
      <alignment horizontal="justify" vertical="center"/>
    </xf>
    <xf numFmtId="165" fontId="7" fillId="3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165" fontId="4" fillId="0" borderId="0" xfId="2" applyNumberFormat="1" applyFont="1" applyAlignment="1">
      <alignment vertical="center"/>
    </xf>
    <xf numFmtId="0" fontId="11" fillId="0" borderId="0" xfId="0" applyFont="1" applyAlignment="1">
      <alignment horizontal="right" vertical="center"/>
    </xf>
    <xf numFmtId="3" fontId="6" fillId="0" borderId="1" xfId="1" applyNumberFormat="1" applyFont="1" applyFill="1" applyBorder="1" applyAlignment="1">
      <alignment horizontal="right" vertical="center" wrapText="1"/>
    </xf>
    <xf numFmtId="165" fontId="7" fillId="4" borderId="2" xfId="0" applyNumberFormat="1" applyFont="1" applyFill="1" applyBorder="1" applyAlignment="1">
      <alignment horizontal="center" vertical="center"/>
    </xf>
    <xf numFmtId="165" fontId="7" fillId="4" borderId="3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justify" vertical="center"/>
    </xf>
    <xf numFmtId="3" fontId="12" fillId="3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justify" vertical="center"/>
    </xf>
    <xf numFmtId="165" fontId="12" fillId="3" borderId="1" xfId="0" applyNumberFormat="1" applyFont="1" applyFill="1" applyBorder="1" applyAlignment="1">
      <alignment horizontal="right" vertical="center"/>
    </xf>
    <xf numFmtId="165" fontId="12" fillId="3" borderId="2" xfId="0" applyNumberFormat="1" applyFont="1" applyFill="1" applyBorder="1" applyAlignment="1">
      <alignment horizontal="center" vertical="center"/>
    </xf>
    <xf numFmtId="165" fontId="12" fillId="3" borderId="3" xfId="0" applyNumberFormat="1" applyFont="1" applyFill="1" applyBorder="1" applyAlignment="1">
      <alignment horizontal="center" vertical="center"/>
    </xf>
    <xf numFmtId="3" fontId="4" fillId="4" borderId="1" xfId="1" applyNumberFormat="1" applyFont="1" applyFill="1" applyBorder="1" applyAlignment="1">
      <alignment horizontal="right" vertical="center" wrapText="1"/>
    </xf>
    <xf numFmtId="2" fontId="4" fillId="4" borderId="1" xfId="4" applyNumberFormat="1" applyFont="1" applyFill="1" applyBorder="1" applyAlignment="1">
      <alignment vertical="center" wrapText="1"/>
    </xf>
    <xf numFmtId="0" fontId="6" fillId="4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64" fontId="6" fillId="2" borderId="1" xfId="3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</cellXfs>
  <cellStyles count="6">
    <cellStyle name="Comma" xfId="1" builtinId="3"/>
    <cellStyle name="Normal" xfId="0" builtinId="0"/>
    <cellStyle name="Normal 2 3" xfId="3" xr:uid="{00000000-0005-0000-0000-000002000000}"/>
    <cellStyle name="Normal 26" xfId="4" xr:uid="{00000000-0005-0000-0000-000003000000}"/>
    <cellStyle name="Normal_4 BCTC (moi)" xfId="5" xr:uid="{00000000-0005-0000-0000-000004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E68"/>
  <sheetViews>
    <sheetView showGridLines="0" zoomScale="85" zoomScaleNormal="85" workbookViewId="0">
      <pane ySplit="4" topLeftCell="A26" activePane="bottomLeft" state="frozen"/>
      <selection pane="bottomLeft" activeCell="E17" sqref="E17:E46"/>
      <selection activeCell="D63" sqref="D63:F63"/>
    </sheetView>
  </sheetViews>
  <sheetFormatPr defaultColWidth="8" defaultRowHeight="15.75"/>
  <cols>
    <col min="1" max="1" width="5.125" style="45" customWidth="1"/>
    <col min="2" max="2" width="36.375" style="4" customWidth="1"/>
    <col min="3" max="3" width="14" style="4" customWidth="1"/>
    <col min="4" max="4" width="18.75" style="4" customWidth="1"/>
    <col min="5" max="5" width="10.75" style="4" bestFit="1" customWidth="1"/>
    <col min="6" max="16384" width="8" style="4"/>
  </cols>
  <sheetData>
    <row r="1" spans="1:5" s="2" customFormat="1" ht="23.25" customHeight="1">
      <c r="A1" s="1" t="s">
        <v>0</v>
      </c>
    </row>
    <row r="3" spans="1:5" ht="46.5" customHeight="1">
      <c r="A3" s="63" t="s">
        <v>1</v>
      </c>
      <c r="B3" s="64" t="s">
        <v>2</v>
      </c>
      <c r="C3" s="65" t="s">
        <v>3</v>
      </c>
      <c r="D3" s="66"/>
    </row>
    <row r="4" spans="1:5">
      <c r="A4" s="63"/>
      <c r="B4" s="64"/>
      <c r="C4" s="5" t="s">
        <v>4</v>
      </c>
      <c r="D4" s="6" t="s">
        <v>5</v>
      </c>
    </row>
    <row r="5" spans="1:5" s="10" customFormat="1" ht="20.100000000000001" customHeight="1">
      <c r="A5" s="7" t="s">
        <v>6</v>
      </c>
      <c r="B5" s="8" t="s">
        <v>7</v>
      </c>
      <c r="C5" s="9">
        <f t="shared" ref="C5:D5" si="0">C7-C20</f>
        <v>1048887.3582372256</v>
      </c>
      <c r="D5" s="9">
        <f t="shared" si="0"/>
        <v>107422.7104141077</v>
      </c>
    </row>
    <row r="6" spans="1:5" s="14" customFormat="1" ht="20.100000000000001" customHeight="1">
      <c r="A6" s="11"/>
      <c r="B6" s="12" t="s">
        <v>8</v>
      </c>
      <c r="C6" s="13">
        <f t="shared" ref="C6:D6" si="1">C5/C10</f>
        <v>0.34389601944039622</v>
      </c>
      <c r="D6" s="13">
        <f t="shared" si="1"/>
        <v>0.72761179214473082</v>
      </c>
    </row>
    <row r="7" spans="1:5" ht="20.100000000000001" customHeight="1">
      <c r="A7" s="15" t="s">
        <v>9</v>
      </c>
      <c r="B7" s="16" t="s">
        <v>10</v>
      </c>
      <c r="C7" s="17">
        <f t="shared" ref="C7:D7" si="2">C15+C16</f>
        <v>2621735.757217933</v>
      </c>
      <c r="D7" s="17">
        <f t="shared" si="2"/>
        <v>121640.74287290771</v>
      </c>
    </row>
    <row r="8" spans="1:5" s="21" customFormat="1" ht="20.100000000000001" customHeight="1">
      <c r="A8" s="18"/>
      <c r="B8" s="19" t="s">
        <v>8</v>
      </c>
      <c r="C8" s="20">
        <f t="shared" ref="C8:D8" si="3">C7/C10</f>
        <v>0.85958180718952415</v>
      </c>
      <c r="D8" s="20">
        <f t="shared" si="3"/>
        <v>0.82391552566848303</v>
      </c>
    </row>
    <row r="9" spans="1:5" ht="20.100000000000001" customHeight="1">
      <c r="A9" s="22">
        <v>1</v>
      </c>
      <c r="B9" s="23" t="s">
        <v>11</v>
      </c>
      <c r="C9" s="24">
        <f t="shared" ref="C9:D9" si="4">C10-C11</f>
        <v>2939538.9867652496</v>
      </c>
      <c r="D9" s="24">
        <f t="shared" si="4"/>
        <v>138481.57613558817</v>
      </c>
    </row>
    <row r="10" spans="1:5" ht="20.100000000000001" customHeight="1">
      <c r="A10" s="22" t="s">
        <v>12</v>
      </c>
      <c r="B10" s="25" t="s">
        <v>13</v>
      </c>
      <c r="C10" s="26">
        <v>3050013.0822799997</v>
      </c>
      <c r="D10" s="26">
        <v>147637.39616899999</v>
      </c>
    </row>
    <row r="11" spans="1:5" ht="20.100000000000001" customHeight="1">
      <c r="A11" s="22" t="s">
        <v>12</v>
      </c>
      <c r="B11" s="27" t="s">
        <v>14</v>
      </c>
      <c r="C11" s="26">
        <v>110474.09551474999</v>
      </c>
      <c r="D11" s="26">
        <v>9155.8200334118301</v>
      </c>
      <c r="E11" s="28"/>
    </row>
    <row r="12" spans="1:5" ht="20.100000000000001" customHeight="1">
      <c r="A12" s="22">
        <v>2</v>
      </c>
      <c r="B12" s="23" t="s">
        <v>15</v>
      </c>
      <c r="C12" s="24">
        <f t="shared" ref="C12:D12" si="5">C13-C14</f>
        <v>401362.48825762497</v>
      </c>
      <c r="D12" s="24">
        <f t="shared" si="5"/>
        <v>39016.066825003749</v>
      </c>
    </row>
    <row r="13" spans="1:5" ht="20.100000000000001" customHeight="1">
      <c r="A13" s="22" t="s">
        <v>12</v>
      </c>
      <c r="B13" s="23" t="s">
        <v>16</v>
      </c>
      <c r="C13" s="26">
        <v>410801.68697899999</v>
      </c>
      <c r="D13" s="26">
        <v>36045.171476999996</v>
      </c>
    </row>
    <row r="14" spans="1:5" ht="20.100000000000001" customHeight="1">
      <c r="A14" s="22" t="s">
        <v>12</v>
      </c>
      <c r="B14" s="23" t="s">
        <v>17</v>
      </c>
      <c r="C14" s="29">
        <v>9439.1987213749999</v>
      </c>
      <c r="D14" s="26">
        <v>-2970.8953480037508</v>
      </c>
    </row>
    <row r="15" spans="1:5" s="21" customFormat="1" ht="20.100000000000001" customHeight="1">
      <c r="A15" s="18">
        <v>3</v>
      </c>
      <c r="B15" s="30" t="s">
        <v>18</v>
      </c>
      <c r="C15" s="31">
        <f t="shared" ref="C15:D15" si="6">C9-C12</f>
        <v>2538176.4985076245</v>
      </c>
      <c r="D15" s="31">
        <f t="shared" si="6"/>
        <v>99465.509310584428</v>
      </c>
    </row>
    <row r="16" spans="1:5" ht="20.100000000000001" customHeight="1">
      <c r="A16" s="22">
        <v>4</v>
      </c>
      <c r="B16" s="32" t="s">
        <v>19</v>
      </c>
      <c r="C16" s="24">
        <f>C17+C18+C19</f>
        <v>83559.258710308684</v>
      </c>
      <c r="D16" s="24">
        <f t="shared" ref="D16" si="7">D17+D18</f>
        <v>22175.233562323279</v>
      </c>
    </row>
    <row r="17" spans="1:4" ht="20.100000000000001" customHeight="1">
      <c r="A17" s="22" t="s">
        <v>12</v>
      </c>
      <c r="B17" s="32" t="s">
        <v>20</v>
      </c>
      <c r="C17" s="26">
        <v>68969.785592999993</v>
      </c>
      <c r="D17" s="26">
        <v>22028.368081000001</v>
      </c>
    </row>
    <row r="18" spans="1:4" ht="20.100000000000001" customHeight="1">
      <c r="A18" s="22" t="s">
        <v>12</v>
      </c>
      <c r="B18" s="32" t="s">
        <v>21</v>
      </c>
      <c r="C18" s="26">
        <v>11458.429063308689</v>
      </c>
      <c r="D18" s="26">
        <v>146.86548132328022</v>
      </c>
    </row>
    <row r="19" spans="1:4" ht="20.100000000000001" customHeight="1">
      <c r="A19" s="22" t="s">
        <v>12</v>
      </c>
      <c r="B19" s="61" t="s">
        <v>22</v>
      </c>
      <c r="C19" s="60">
        <f>3131.044054</f>
        <v>3131.044054</v>
      </c>
      <c r="D19" s="26">
        <v>0</v>
      </c>
    </row>
    <row r="20" spans="1:4" ht="20.100000000000001" customHeight="1">
      <c r="A20" s="15" t="s">
        <v>23</v>
      </c>
      <c r="B20" s="16" t="s">
        <v>24</v>
      </c>
      <c r="C20" s="17">
        <f>C22-C24+C27</f>
        <v>1572848.3989807074</v>
      </c>
      <c r="D20" s="17">
        <f t="shared" ref="D20" si="8">D22-D24+D27</f>
        <v>14218.032458800002</v>
      </c>
    </row>
    <row r="21" spans="1:4" s="21" customFormat="1" ht="20.100000000000001" customHeight="1">
      <c r="A21" s="18"/>
      <c r="B21" s="19" t="s">
        <v>25</v>
      </c>
      <c r="C21" s="20">
        <f t="shared" ref="C21:D21" si="9">C20/C15</f>
        <v>0.61967652758013381</v>
      </c>
      <c r="D21" s="20">
        <f t="shared" si="9"/>
        <v>0.14294434882350737</v>
      </c>
    </row>
    <row r="22" spans="1:4" ht="20.100000000000001" customHeight="1">
      <c r="A22" s="22">
        <v>1</v>
      </c>
      <c r="B22" s="32" t="s">
        <v>26</v>
      </c>
      <c r="C22" s="26">
        <v>1816201.8973009998</v>
      </c>
      <c r="D22" s="26">
        <v>34083.381668000002</v>
      </c>
    </row>
    <row r="23" spans="1:4" ht="20.100000000000001" customHeight="1">
      <c r="A23" s="22"/>
      <c r="B23" s="19" t="s">
        <v>8</v>
      </c>
      <c r="C23" s="20">
        <f t="shared" ref="C23:D23" si="10">C22/C10</f>
        <v>0.59547347775417425</v>
      </c>
      <c r="D23" s="20">
        <f t="shared" si="10"/>
        <v>0.23085872924082784</v>
      </c>
    </row>
    <row r="24" spans="1:4" ht="20.100000000000001" customHeight="1">
      <c r="A24" s="22">
        <v>2</v>
      </c>
      <c r="B24" s="32" t="s">
        <v>27</v>
      </c>
      <c r="C24" s="24">
        <f t="shared" ref="C24:D24" si="11">C25+C26</f>
        <v>240201.445989</v>
      </c>
      <c r="D24" s="24">
        <f t="shared" si="11"/>
        <v>6184.4489899999999</v>
      </c>
    </row>
    <row r="25" spans="1:4" ht="20.100000000000001" customHeight="1">
      <c r="A25" s="22" t="s">
        <v>12</v>
      </c>
      <c r="B25" s="32" t="s">
        <v>28</v>
      </c>
      <c r="C25" s="26">
        <v>240201.445989</v>
      </c>
      <c r="D25" s="26">
        <v>6184.4489899999999</v>
      </c>
    </row>
    <row r="26" spans="1:4" ht="20.100000000000001" customHeight="1">
      <c r="A26" s="22" t="s">
        <v>12</v>
      </c>
      <c r="B26" s="32" t="s">
        <v>29</v>
      </c>
      <c r="C26" s="26">
        <v>0</v>
      </c>
      <c r="D26" s="26">
        <v>0</v>
      </c>
    </row>
    <row r="27" spans="1:4" ht="20.100000000000001" customHeight="1">
      <c r="A27" s="22">
        <v>3</v>
      </c>
      <c r="B27" s="23" t="s">
        <v>30</v>
      </c>
      <c r="C27" s="29">
        <f t="shared" ref="C27:D27" si="12">C28+C29</f>
        <v>-3152.052331292467</v>
      </c>
      <c r="D27" s="29">
        <f t="shared" si="12"/>
        <v>-13680.900219199999</v>
      </c>
    </row>
    <row r="28" spans="1:4" ht="20.100000000000001" customHeight="1">
      <c r="A28" s="22" t="s">
        <v>12</v>
      </c>
      <c r="B28" s="32" t="s">
        <v>31</v>
      </c>
      <c r="C28" s="26">
        <v>3778.4711533125283</v>
      </c>
      <c r="D28" s="26">
        <v>-14112.537473549999</v>
      </c>
    </row>
    <row r="29" spans="1:4" ht="20.100000000000001" customHeight="1">
      <c r="A29" s="22" t="s">
        <v>12</v>
      </c>
      <c r="B29" s="32" t="s">
        <v>32</v>
      </c>
      <c r="C29" s="26">
        <v>-6930.5234846049952</v>
      </c>
      <c r="D29" s="26">
        <v>431.63725434999986</v>
      </c>
    </row>
    <row r="30" spans="1:4" s="10" customFormat="1" ht="20.100000000000001" customHeight="1">
      <c r="A30" s="7" t="s">
        <v>33</v>
      </c>
      <c r="B30" s="8" t="s">
        <v>34</v>
      </c>
      <c r="C30" s="9">
        <f>C32+C36+C43+C46</f>
        <v>672666.89421370882</v>
      </c>
      <c r="D30" s="9">
        <f t="shared" ref="D30" si="13">D32+D36+D43+D46</f>
        <v>68778.225015952077</v>
      </c>
    </row>
    <row r="31" spans="1:4" s="14" customFormat="1" ht="20.100000000000001" customHeight="1">
      <c r="A31" s="11"/>
      <c r="B31" s="12" t="s">
        <v>8</v>
      </c>
      <c r="C31" s="13">
        <f t="shared" ref="C31:D31" si="14">C30/C10</f>
        <v>0.22054557671302347</v>
      </c>
      <c r="D31" s="13">
        <f t="shared" si="14"/>
        <v>0.46585910345656528</v>
      </c>
    </row>
    <row r="32" spans="1:4" ht="20.100000000000001" customHeight="1">
      <c r="A32" s="15" t="s">
        <v>9</v>
      </c>
      <c r="B32" s="16" t="s">
        <v>35</v>
      </c>
      <c r="C32" s="17">
        <f t="shared" ref="C32:D32" si="15">C34+C35</f>
        <v>116571.44227200314</v>
      </c>
      <c r="D32" s="17">
        <f t="shared" si="15"/>
        <v>10746.181244649944</v>
      </c>
    </row>
    <row r="33" spans="1:4" s="34" customFormat="1" ht="20.100000000000001" customHeight="1">
      <c r="A33" s="33"/>
      <c r="B33" s="19" t="s">
        <v>8</v>
      </c>
      <c r="C33" s="20">
        <f t="shared" ref="C33:D33" si="16">C32/C10</f>
        <v>3.8219981071314489E-2</v>
      </c>
      <c r="D33" s="20">
        <f t="shared" si="16"/>
        <v>7.2787664396010004E-2</v>
      </c>
    </row>
    <row r="34" spans="1:4" ht="20.100000000000001" customHeight="1">
      <c r="A34" s="22">
        <v>1</v>
      </c>
      <c r="B34" s="32" t="s">
        <v>36</v>
      </c>
      <c r="C34" s="26">
        <v>85763.478952029021</v>
      </c>
      <c r="D34" s="26">
        <v>8624.1568289200004</v>
      </c>
    </row>
    <row r="35" spans="1:4" ht="20.100000000000001" customHeight="1">
      <c r="A35" s="22">
        <v>2</v>
      </c>
      <c r="B35" s="32" t="s">
        <v>37</v>
      </c>
      <c r="C35" s="24">
        <v>30807.963319974126</v>
      </c>
      <c r="D35" s="24">
        <v>2122.0244157299444</v>
      </c>
    </row>
    <row r="36" spans="1:4" ht="20.100000000000001" customHeight="1">
      <c r="A36" s="15" t="s">
        <v>23</v>
      </c>
      <c r="B36" s="16" t="s">
        <v>38</v>
      </c>
      <c r="C36" s="17">
        <f t="shared" ref="C36:D36" si="17">SUM(C38:C42)</f>
        <v>477584.42708201741</v>
      </c>
      <c r="D36" s="17">
        <f t="shared" si="17"/>
        <v>54554.007254345503</v>
      </c>
    </row>
    <row r="37" spans="1:4" s="21" customFormat="1" ht="20.100000000000001" customHeight="1">
      <c r="A37" s="18"/>
      <c r="B37" s="19" t="s">
        <v>8</v>
      </c>
      <c r="C37" s="35">
        <f t="shared" ref="C37:D37" si="18">C36/C10</f>
        <v>0.15658438642663297</v>
      </c>
      <c r="D37" s="35">
        <f t="shared" si="18"/>
        <v>0.36951347470188195</v>
      </c>
    </row>
    <row r="38" spans="1:4" ht="20.100000000000001" customHeight="1">
      <c r="A38" s="22">
        <v>1</v>
      </c>
      <c r="B38" s="32" t="s">
        <v>39</v>
      </c>
      <c r="C38" s="26">
        <v>378941.85008591908</v>
      </c>
      <c r="D38" s="26">
        <v>34107.950788900001</v>
      </c>
    </row>
    <row r="39" spans="1:4" ht="20.100000000000001" customHeight="1">
      <c r="A39" s="22">
        <v>2</v>
      </c>
      <c r="B39" s="32" t="s">
        <v>40</v>
      </c>
      <c r="C39" s="26">
        <v>62384.555249985773</v>
      </c>
      <c r="D39" s="26">
        <v>22353.72457666805</v>
      </c>
    </row>
    <row r="40" spans="1:4" ht="20.100000000000001" customHeight="1">
      <c r="A40" s="22">
        <v>3</v>
      </c>
      <c r="B40" s="32" t="s">
        <v>41</v>
      </c>
      <c r="C40" s="26">
        <v>29578.10945860725</v>
      </c>
      <c r="D40" s="26">
        <v>-3550.8881090745863</v>
      </c>
    </row>
    <row r="41" spans="1:4" ht="20.100000000000001" customHeight="1">
      <c r="A41" s="22">
        <v>4</v>
      </c>
      <c r="B41" s="32" t="s">
        <v>42</v>
      </c>
      <c r="C41" s="26">
        <v>612.93175734585316</v>
      </c>
      <c r="D41" s="26">
        <v>28.939947696416226</v>
      </c>
    </row>
    <row r="42" spans="1:4" ht="20.100000000000001" customHeight="1">
      <c r="A42" s="22">
        <v>5</v>
      </c>
      <c r="B42" s="32" t="s">
        <v>43</v>
      </c>
      <c r="C42" s="26">
        <v>6066.9805301594206</v>
      </c>
      <c r="D42" s="26">
        <v>1614.280050155616</v>
      </c>
    </row>
    <row r="43" spans="1:4" ht="20.100000000000001" customHeight="1">
      <c r="A43" s="15" t="s">
        <v>44</v>
      </c>
      <c r="B43" s="16" t="s">
        <v>45</v>
      </c>
      <c r="C43" s="17">
        <f t="shared" ref="C43:D43" si="19">C44+C45</f>
        <v>76998.574185485602</v>
      </c>
      <c r="D43" s="17">
        <f t="shared" si="19"/>
        <v>3404.8255918394152</v>
      </c>
    </row>
    <row r="44" spans="1:4" ht="20.100000000000001" customHeight="1">
      <c r="A44" s="22">
        <v>1</v>
      </c>
      <c r="B44" s="32" t="s">
        <v>46</v>
      </c>
      <c r="C44" s="26">
        <v>58672.13950220104</v>
      </c>
      <c r="D44" s="26">
        <v>2523.3904442670964</v>
      </c>
    </row>
    <row r="45" spans="1:4" ht="20.100000000000001" customHeight="1">
      <c r="A45" s="22">
        <v>2</v>
      </c>
      <c r="B45" s="32" t="s">
        <v>47</v>
      </c>
      <c r="C45" s="26">
        <v>18326.434683284559</v>
      </c>
      <c r="D45" s="26">
        <v>881.43514757231856</v>
      </c>
    </row>
    <row r="46" spans="1:4" ht="20.100000000000001" customHeight="1">
      <c r="A46" s="15" t="s">
        <v>48</v>
      </c>
      <c r="B46" s="16" t="s">
        <v>49</v>
      </c>
      <c r="C46" s="17">
        <v>1512.4506742026372</v>
      </c>
      <c r="D46" s="17">
        <v>73.210925117214586</v>
      </c>
    </row>
    <row r="47" spans="1:4" s="10" customFormat="1" ht="20.100000000000001" customHeight="1">
      <c r="A47" s="7" t="s">
        <v>50</v>
      </c>
      <c r="B47" s="8" t="s">
        <v>51</v>
      </c>
      <c r="C47" s="9">
        <f t="shared" ref="C47:D47" si="20">C49+C62</f>
        <v>415766.06542234786</v>
      </c>
      <c r="D47" s="9">
        <f t="shared" si="20"/>
        <v>31715.994624265222</v>
      </c>
    </row>
    <row r="48" spans="1:4" s="38" customFormat="1" ht="20.100000000000001" customHeight="1">
      <c r="A48" s="36"/>
      <c r="B48" s="12" t="s">
        <v>8</v>
      </c>
      <c r="C48" s="37">
        <f t="shared" ref="C48:D48" si="21">C47/C10</f>
        <v>0.13631615806432773</v>
      </c>
      <c r="D48" s="37">
        <f t="shared" si="21"/>
        <v>0.2148235843170794</v>
      </c>
    </row>
    <row r="49" spans="1:4" s="34" customFormat="1" ht="20.100000000000001" customHeight="1">
      <c r="A49" s="33">
        <v>1</v>
      </c>
      <c r="B49" s="39" t="s">
        <v>52</v>
      </c>
      <c r="C49" s="40">
        <f t="shared" ref="C49:D49" si="22">C51+C52+C53+C54+C55+C56+C57</f>
        <v>136051.50940734913</v>
      </c>
      <c r="D49" s="40">
        <f t="shared" si="22"/>
        <v>17725.948231212838</v>
      </c>
    </row>
    <row r="50" spans="1:4" s="34" customFormat="1" ht="20.100000000000001" customHeight="1">
      <c r="A50" s="33"/>
      <c r="B50" s="19" t="s">
        <v>8</v>
      </c>
      <c r="C50" s="41">
        <f t="shared" ref="C50:D50" si="23">C49/C10</f>
        <v>4.4606860933739174E-2</v>
      </c>
      <c r="D50" s="41">
        <f t="shared" si="23"/>
        <v>0.12006408058647966</v>
      </c>
    </row>
    <row r="51" spans="1:4" ht="20.100000000000001" customHeight="1">
      <c r="A51" s="22" t="s">
        <v>53</v>
      </c>
      <c r="B51" s="32" t="s">
        <v>54</v>
      </c>
      <c r="C51" s="26">
        <v>13750.24260548661</v>
      </c>
      <c r="D51" s="26">
        <v>1382.6893464961117</v>
      </c>
    </row>
    <row r="52" spans="1:4" ht="20.100000000000001" customHeight="1">
      <c r="A52" s="22" t="s">
        <v>55</v>
      </c>
      <c r="B52" s="32" t="s">
        <v>56</v>
      </c>
      <c r="C52" s="26">
        <v>9636.3488829806302</v>
      </c>
      <c r="D52" s="26">
        <v>969.00668023853393</v>
      </c>
    </row>
    <row r="53" spans="1:4" ht="20.100000000000001" customHeight="1">
      <c r="A53" s="22" t="s">
        <v>57</v>
      </c>
      <c r="B53" s="32" t="s">
        <v>58</v>
      </c>
      <c r="C53" s="26">
        <v>5813.1106949597179</v>
      </c>
      <c r="D53" s="26">
        <v>584.55159363633368</v>
      </c>
    </row>
    <row r="54" spans="1:4" ht="20.100000000000001" customHeight="1">
      <c r="A54" s="22" t="s">
        <v>59</v>
      </c>
      <c r="B54" s="32" t="s">
        <v>60</v>
      </c>
      <c r="C54" s="26">
        <v>48817.345502024371</v>
      </c>
      <c r="D54" s="26">
        <v>425.79396597562976</v>
      </c>
    </row>
    <row r="55" spans="1:4" ht="20.100000000000001" customHeight="1">
      <c r="A55" s="22" t="s">
        <v>61</v>
      </c>
      <c r="B55" s="32" t="s">
        <v>62</v>
      </c>
      <c r="C55" s="26">
        <v>16842.736962999999</v>
      </c>
      <c r="D55" s="26">
        <v>0</v>
      </c>
    </row>
    <row r="56" spans="1:4" ht="31.5">
      <c r="A56" s="22" t="s">
        <v>63</v>
      </c>
      <c r="B56" s="32" t="s">
        <v>64</v>
      </c>
      <c r="C56" s="26">
        <v>26464.034634213807</v>
      </c>
      <c r="D56" s="26">
        <v>1918.7183050155313</v>
      </c>
    </row>
    <row r="57" spans="1:4" ht="20.100000000000001" customHeight="1">
      <c r="A57" s="22" t="s">
        <v>65</v>
      </c>
      <c r="B57" s="32" t="s">
        <v>66</v>
      </c>
      <c r="C57" s="26">
        <f>SUM(C58:C61)</f>
        <v>14727.690124684001</v>
      </c>
      <c r="D57" s="26">
        <f t="shared" ref="D57" si="24">SUM(D58:D61)</f>
        <v>12445.188339850698</v>
      </c>
    </row>
    <row r="58" spans="1:4" s="34" customFormat="1" ht="20.100000000000001" customHeight="1">
      <c r="A58" s="22" t="s">
        <v>12</v>
      </c>
      <c r="B58" s="32" t="s">
        <v>67</v>
      </c>
      <c r="C58" s="26">
        <v>0</v>
      </c>
      <c r="D58" s="26">
        <v>0</v>
      </c>
    </row>
    <row r="59" spans="1:4" s="34" customFormat="1" ht="20.100000000000001" customHeight="1">
      <c r="A59" s="22" t="s">
        <v>12</v>
      </c>
      <c r="B59" s="32" t="s">
        <v>68</v>
      </c>
      <c r="C59" s="26">
        <v>0</v>
      </c>
      <c r="D59" s="26">
        <v>0</v>
      </c>
    </row>
    <row r="60" spans="1:4" s="34" customFormat="1" ht="20.100000000000001" customHeight="1">
      <c r="A60" s="22" t="s">
        <v>12</v>
      </c>
      <c r="B60" s="32" t="s">
        <v>69</v>
      </c>
      <c r="C60" s="26">
        <v>915.0039246839998</v>
      </c>
      <c r="D60" s="26">
        <v>44.291218850699998</v>
      </c>
    </row>
    <row r="61" spans="1:4" ht="20.100000000000001" customHeight="1">
      <c r="A61" s="22" t="s">
        <v>12</v>
      </c>
      <c r="B61" s="32" t="s">
        <v>70</v>
      </c>
      <c r="C61" s="26">
        <v>13812.6862</v>
      </c>
      <c r="D61" s="26">
        <v>12400.897120999998</v>
      </c>
    </row>
    <row r="62" spans="1:4" s="34" customFormat="1" ht="20.100000000000001" customHeight="1">
      <c r="A62" s="33">
        <v>2</v>
      </c>
      <c r="B62" s="39" t="s">
        <v>71</v>
      </c>
      <c r="C62" s="40">
        <v>279714.55601499876</v>
      </c>
      <c r="D62" s="40">
        <v>13990.046393052386</v>
      </c>
    </row>
    <row r="63" spans="1:4" ht="20.100000000000001" customHeight="1">
      <c r="A63" s="22"/>
      <c r="B63" s="19" t="s">
        <v>8</v>
      </c>
      <c r="C63" s="41">
        <f>C62/C10</f>
        <v>9.1709297130588563E-2</v>
      </c>
      <c r="D63" s="41">
        <f t="shared" ref="D63" si="25">D62/D10</f>
        <v>9.4759503730599742E-2</v>
      </c>
    </row>
    <row r="64" spans="1:4" s="10" customFormat="1" ht="20.100000000000001" customHeight="1">
      <c r="A64" s="7" t="s">
        <v>72</v>
      </c>
      <c r="B64" s="8" t="s">
        <v>73</v>
      </c>
      <c r="C64" s="9">
        <f t="shared" ref="C64:D64" si="26">(C10-C13)*2%</f>
        <v>52784.227906019994</v>
      </c>
      <c r="D64" s="9">
        <f t="shared" si="26"/>
        <v>2231.8444938399998</v>
      </c>
    </row>
    <row r="65" spans="1:5" s="10" customFormat="1" ht="20.100000000000001" customHeight="1">
      <c r="A65" s="7" t="s">
        <v>74</v>
      </c>
      <c r="B65" s="8" t="s">
        <v>75</v>
      </c>
      <c r="C65" s="9">
        <f t="shared" ref="C65:D65" si="27">C5-C30-C47-C64</f>
        <v>-92329.829304851111</v>
      </c>
      <c r="D65" s="9">
        <f t="shared" si="27"/>
        <v>4696.6462800504005</v>
      </c>
      <c r="E65" s="42"/>
    </row>
    <row r="66" spans="1:5" s="10" customFormat="1" ht="20.100000000000001" customHeight="1">
      <c r="A66" s="7"/>
      <c r="B66" s="43" t="s">
        <v>76</v>
      </c>
      <c r="C66" s="44">
        <f t="shared" ref="C66:D66" si="28">(C20+C30+C47+C64-C16)/C15</f>
        <v>1.0363764416537375</v>
      </c>
      <c r="D66" s="44">
        <f t="shared" si="28"/>
        <v>0.95278115687936649</v>
      </c>
    </row>
    <row r="67" spans="1:5" ht="20.100000000000001" customHeight="1"/>
    <row r="68" spans="1:5">
      <c r="C68" s="46"/>
    </row>
  </sheetData>
  <mergeCells count="3">
    <mergeCell ref="A3:A4"/>
    <mergeCell ref="B3:B4"/>
    <mergeCell ref="C3:D3"/>
  </mergeCells>
  <pageMargins left="0.70866141732283472" right="0.70866141732283472" top="0.74803149606299213" bottom="0.74803149606299213" header="0.31496062992125984" footer="0.31496062992125984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68"/>
  <sheetViews>
    <sheetView showGridLines="0" tabSelected="1" zoomScale="85" zoomScaleNormal="85" workbookViewId="0">
      <pane ySplit="4" topLeftCell="A5" activePane="bottomLeft" state="frozen"/>
      <selection pane="bottomLeft" activeCell="J19" sqref="J19"/>
    </sheetView>
  </sheetViews>
  <sheetFormatPr defaultColWidth="8" defaultRowHeight="15.75"/>
  <cols>
    <col min="1" max="1" width="5.125" style="45" customWidth="1"/>
    <col min="2" max="2" width="46" style="4" customWidth="1"/>
    <col min="3" max="3" width="11" style="4" customWidth="1"/>
    <col min="4" max="4" width="15.5" style="4" customWidth="1"/>
    <col min="5" max="16384" width="8" style="4"/>
  </cols>
  <sheetData>
    <row r="1" spans="1:4" s="2" customFormat="1" ht="23.25" customHeight="1">
      <c r="A1" s="1" t="s">
        <v>77</v>
      </c>
    </row>
    <row r="2" spans="1:4">
      <c r="D2" s="47" t="s">
        <v>78</v>
      </c>
    </row>
    <row r="3" spans="1:4" ht="52.5" customHeight="1">
      <c r="A3" s="3" t="s">
        <v>1</v>
      </c>
      <c r="B3" s="5" t="s">
        <v>2</v>
      </c>
      <c r="C3" s="65" t="s">
        <v>79</v>
      </c>
      <c r="D3" s="66"/>
    </row>
    <row r="4" spans="1:4">
      <c r="A4" s="3"/>
      <c r="B4" s="5"/>
      <c r="C4" s="5" t="s">
        <v>4</v>
      </c>
      <c r="D4" s="6" t="s">
        <v>5</v>
      </c>
    </row>
    <row r="5" spans="1:4" s="10" customFormat="1" ht="20.100000000000001" customHeight="1">
      <c r="A5" s="7" t="s">
        <v>6</v>
      </c>
      <c r="B5" s="8" t="s">
        <v>7</v>
      </c>
      <c r="C5" s="9">
        <f>C7-C20</f>
        <v>1048887.3582372256</v>
      </c>
      <c r="D5" s="9">
        <f t="shared" ref="D5" si="0">D7-D20</f>
        <v>107422.7104141077</v>
      </c>
    </row>
    <row r="6" spans="1:4" s="14" customFormat="1" ht="20.100000000000001" customHeight="1">
      <c r="A6" s="11"/>
      <c r="B6" s="12" t="s">
        <v>8</v>
      </c>
      <c r="C6" s="13">
        <f t="shared" ref="C6:D6" si="1">C5/C10</f>
        <v>0.34389601944039622</v>
      </c>
      <c r="D6" s="13">
        <f t="shared" si="1"/>
        <v>0.72761179214473082</v>
      </c>
    </row>
    <row r="7" spans="1:4" ht="20.100000000000001" customHeight="1">
      <c r="A7" s="15" t="s">
        <v>9</v>
      </c>
      <c r="B7" s="16" t="s">
        <v>10</v>
      </c>
      <c r="C7" s="17">
        <f>C15+C16</f>
        <v>2621735.757217933</v>
      </c>
      <c r="D7" s="17">
        <f t="shared" ref="D7" si="2">D15+D16</f>
        <v>121640.74287290771</v>
      </c>
    </row>
    <row r="8" spans="1:4" s="21" customFormat="1" ht="20.100000000000001" customHeight="1">
      <c r="A8" s="18"/>
      <c r="B8" s="19" t="s">
        <v>8</v>
      </c>
      <c r="C8" s="20">
        <f t="shared" ref="C8:D8" si="3">C7/C10</f>
        <v>0.85958180718952415</v>
      </c>
      <c r="D8" s="20">
        <f t="shared" si="3"/>
        <v>0.82391552566848303</v>
      </c>
    </row>
    <row r="9" spans="1:4" ht="20.100000000000001" customHeight="1">
      <c r="A9" s="22">
        <v>1</v>
      </c>
      <c r="B9" s="23" t="s">
        <v>11</v>
      </c>
      <c r="C9" s="24">
        <f t="shared" ref="C9:D9" si="4">C10-C11</f>
        <v>2939538.9867652496</v>
      </c>
      <c r="D9" s="24">
        <f t="shared" si="4"/>
        <v>138481.57613558817</v>
      </c>
    </row>
    <row r="10" spans="1:4" ht="20.100000000000001" customHeight="1">
      <c r="A10" s="22" t="s">
        <v>12</v>
      </c>
      <c r="B10" s="25" t="s">
        <v>13</v>
      </c>
      <c r="C10" s="26">
        <v>3050013.0822799997</v>
      </c>
      <c r="D10" s="26">
        <v>147637.39616899999</v>
      </c>
    </row>
    <row r="11" spans="1:4" ht="20.100000000000001" customHeight="1">
      <c r="A11" s="22" t="s">
        <v>12</v>
      </c>
      <c r="B11" s="27" t="s">
        <v>14</v>
      </c>
      <c r="C11" s="26">
        <v>110474.09551474999</v>
      </c>
      <c r="D11" s="26">
        <v>9155.8200334118301</v>
      </c>
    </row>
    <row r="12" spans="1:4" ht="20.100000000000001" customHeight="1">
      <c r="A12" s="22">
        <v>2</v>
      </c>
      <c r="B12" s="23" t="s">
        <v>15</v>
      </c>
      <c r="C12" s="24">
        <f t="shared" ref="C12:D12" si="5">C13-C14</f>
        <v>401362.48825762497</v>
      </c>
      <c r="D12" s="24">
        <f t="shared" si="5"/>
        <v>39016.066825003749</v>
      </c>
    </row>
    <row r="13" spans="1:4" ht="20.100000000000001" customHeight="1">
      <c r="A13" s="22" t="s">
        <v>12</v>
      </c>
      <c r="B13" s="23" t="s">
        <v>16</v>
      </c>
      <c r="C13" s="26">
        <v>410801.68697899999</v>
      </c>
      <c r="D13" s="26">
        <v>36045.171476999996</v>
      </c>
    </row>
    <row r="14" spans="1:4" ht="20.100000000000001" customHeight="1">
      <c r="A14" s="22" t="s">
        <v>12</v>
      </c>
      <c r="B14" s="23" t="s">
        <v>17</v>
      </c>
      <c r="C14" s="29">
        <v>9439.1987213749999</v>
      </c>
      <c r="D14" s="26">
        <v>-2970.8953480037508</v>
      </c>
    </row>
    <row r="15" spans="1:4" s="21" customFormat="1" ht="20.100000000000001" customHeight="1">
      <c r="A15" s="18">
        <v>3</v>
      </c>
      <c r="B15" s="30" t="s">
        <v>18</v>
      </c>
      <c r="C15" s="31">
        <f t="shared" ref="C15:D15" si="6">C9-C12</f>
        <v>2538176.4985076245</v>
      </c>
      <c r="D15" s="31">
        <f t="shared" si="6"/>
        <v>99465.509310584428</v>
      </c>
    </row>
    <row r="16" spans="1:4" ht="20.100000000000001" customHeight="1">
      <c r="A16" s="22">
        <v>4</v>
      </c>
      <c r="B16" s="32" t="s">
        <v>19</v>
      </c>
      <c r="C16" s="24">
        <f>C17+C18+C19</f>
        <v>83559.258710308684</v>
      </c>
      <c r="D16" s="24">
        <f t="shared" ref="D16" si="7">D17+D18</f>
        <v>22175.233562323279</v>
      </c>
    </row>
    <row r="17" spans="1:5" ht="20.100000000000001" customHeight="1">
      <c r="A17" s="22" t="s">
        <v>12</v>
      </c>
      <c r="B17" s="32" t="s">
        <v>20</v>
      </c>
      <c r="C17" s="26">
        <v>68969.785592999993</v>
      </c>
      <c r="D17" s="26">
        <v>22028.368081000001</v>
      </c>
      <c r="E17" s="62" t="s">
        <v>80</v>
      </c>
    </row>
    <row r="18" spans="1:5" ht="20.100000000000001" customHeight="1">
      <c r="A18" s="22" t="s">
        <v>12</v>
      </c>
      <c r="B18" s="32" t="s">
        <v>21</v>
      </c>
      <c r="C18" s="26">
        <v>11458.429063308689</v>
      </c>
      <c r="D18" s="26">
        <v>146.86548132328022</v>
      </c>
      <c r="E18" s="62" t="s">
        <v>81</v>
      </c>
    </row>
    <row r="19" spans="1:5" ht="21.75" customHeight="1">
      <c r="A19" s="22" t="s">
        <v>12</v>
      </c>
      <c r="B19" s="61" t="s">
        <v>82</v>
      </c>
      <c r="C19" s="60">
        <v>3131.044054</v>
      </c>
      <c r="D19" s="26">
        <v>0</v>
      </c>
    </row>
    <row r="20" spans="1:5" ht="20.100000000000001" customHeight="1">
      <c r="A20" s="15" t="s">
        <v>23</v>
      </c>
      <c r="B20" s="16" t="s">
        <v>24</v>
      </c>
      <c r="C20" s="17">
        <f>C22-C24+C27</f>
        <v>1572848.3989807074</v>
      </c>
      <c r="D20" s="17">
        <f t="shared" ref="D20" si="8">D22-D24+D27</f>
        <v>14218.032458800002</v>
      </c>
    </row>
    <row r="21" spans="1:5" s="21" customFormat="1" ht="20.100000000000001" customHeight="1">
      <c r="A21" s="18"/>
      <c r="B21" s="19" t="s">
        <v>25</v>
      </c>
      <c r="C21" s="20">
        <f t="shared" ref="C21:D21" si="9">C20/C15</f>
        <v>0.61967652758013381</v>
      </c>
      <c r="D21" s="20">
        <f t="shared" si="9"/>
        <v>0.14294434882350737</v>
      </c>
      <c r="E21" s="4"/>
    </row>
    <row r="22" spans="1:5" ht="20.100000000000001" customHeight="1">
      <c r="A22" s="22">
        <v>1</v>
      </c>
      <c r="B22" s="32" t="s">
        <v>26</v>
      </c>
      <c r="C22" s="26">
        <v>1816201.8973009998</v>
      </c>
      <c r="D22" s="26">
        <v>34083.381668000002</v>
      </c>
      <c r="E22" s="21"/>
    </row>
    <row r="23" spans="1:5" ht="20.100000000000001" customHeight="1">
      <c r="A23" s="22"/>
      <c r="B23" s="19" t="s">
        <v>8</v>
      </c>
      <c r="C23" s="20">
        <f t="shared" ref="C23:D23" si="10">C22/C10</f>
        <v>0.59547347775417425</v>
      </c>
      <c r="D23" s="20">
        <f t="shared" si="10"/>
        <v>0.23085872924082784</v>
      </c>
    </row>
    <row r="24" spans="1:5" ht="20.100000000000001" customHeight="1">
      <c r="A24" s="22">
        <v>2</v>
      </c>
      <c r="B24" s="32" t="s">
        <v>27</v>
      </c>
      <c r="C24" s="24">
        <f t="shared" ref="C24:D24" si="11">C25+C26</f>
        <v>240201.445989</v>
      </c>
      <c r="D24" s="24">
        <f t="shared" si="11"/>
        <v>6184.4489899999999</v>
      </c>
    </row>
    <row r="25" spans="1:5" ht="20.100000000000001" customHeight="1">
      <c r="A25" s="22" t="s">
        <v>12</v>
      </c>
      <c r="B25" s="32" t="s">
        <v>28</v>
      </c>
      <c r="C25" s="26">
        <v>240201.445989</v>
      </c>
      <c r="D25" s="26">
        <v>6184.4489899999999</v>
      </c>
    </row>
    <row r="26" spans="1:5" ht="20.100000000000001" customHeight="1">
      <c r="A26" s="22" t="s">
        <v>12</v>
      </c>
      <c r="B26" s="32" t="s">
        <v>29</v>
      </c>
      <c r="C26" s="26">
        <v>0</v>
      </c>
      <c r="D26" s="26">
        <v>0</v>
      </c>
    </row>
    <row r="27" spans="1:5" ht="20.100000000000001" customHeight="1">
      <c r="A27" s="22">
        <v>3</v>
      </c>
      <c r="B27" s="23" t="s">
        <v>30</v>
      </c>
      <c r="C27" s="29">
        <f t="shared" ref="C27:D27" si="12">C28+C29</f>
        <v>-3152.052331292467</v>
      </c>
      <c r="D27" s="29">
        <f t="shared" si="12"/>
        <v>-13680.900219199999</v>
      </c>
    </row>
    <row r="28" spans="1:5" ht="20.100000000000001" customHeight="1">
      <c r="A28" s="22" t="s">
        <v>12</v>
      </c>
      <c r="B28" s="32" t="s">
        <v>31</v>
      </c>
      <c r="C28" s="26">
        <v>3778.4711533125283</v>
      </c>
      <c r="D28" s="26">
        <v>-14112.537473549999</v>
      </c>
    </row>
    <row r="29" spans="1:5" ht="20.100000000000001" customHeight="1">
      <c r="A29" s="22" t="s">
        <v>12</v>
      </c>
      <c r="B29" s="32" t="s">
        <v>32</v>
      </c>
      <c r="C29" s="26">
        <v>-6930.5234846049952</v>
      </c>
      <c r="D29" s="26">
        <v>431.63725434999986</v>
      </c>
    </row>
    <row r="30" spans="1:5" s="10" customFormat="1" ht="20.100000000000001" customHeight="1">
      <c r="A30" s="7" t="s">
        <v>33</v>
      </c>
      <c r="B30" s="8" t="s">
        <v>34</v>
      </c>
      <c r="C30" s="9">
        <f t="shared" ref="C30:D30" si="13">C32+C36+C43+C46</f>
        <v>672666.89421370882</v>
      </c>
      <c r="D30" s="9">
        <f t="shared" si="13"/>
        <v>68778.225015952077</v>
      </c>
      <c r="E30" s="4"/>
    </row>
    <row r="31" spans="1:5" s="14" customFormat="1" ht="20.100000000000001" customHeight="1">
      <c r="A31" s="11"/>
      <c r="B31" s="12" t="s">
        <v>8</v>
      </c>
      <c r="C31" s="13">
        <f t="shared" ref="C31:D31" si="14">C30/C10</f>
        <v>0.22054557671302347</v>
      </c>
      <c r="D31" s="13">
        <f t="shared" si="14"/>
        <v>0.46585910345656528</v>
      </c>
      <c r="E31" s="10"/>
    </row>
    <row r="32" spans="1:5" ht="20.100000000000001" customHeight="1">
      <c r="A32" s="15" t="s">
        <v>9</v>
      </c>
      <c r="B32" s="16" t="s">
        <v>35</v>
      </c>
      <c r="C32" s="17">
        <f t="shared" ref="C32:D32" si="15">C34+C35</f>
        <v>116571.44227200314</v>
      </c>
      <c r="D32" s="17">
        <f t="shared" si="15"/>
        <v>10746.181244649944</v>
      </c>
      <c r="E32" s="14"/>
    </row>
    <row r="33" spans="1:5" s="34" customFormat="1" ht="20.100000000000001" customHeight="1">
      <c r="A33" s="33"/>
      <c r="B33" s="19" t="s">
        <v>8</v>
      </c>
      <c r="C33" s="20">
        <f t="shared" ref="C33:D33" si="16">C32/C10</f>
        <v>3.8219981071314489E-2</v>
      </c>
      <c r="D33" s="20">
        <f t="shared" si="16"/>
        <v>7.2787664396010004E-2</v>
      </c>
      <c r="E33" s="4"/>
    </row>
    <row r="34" spans="1:5" ht="20.100000000000001" customHeight="1">
      <c r="A34" s="22">
        <v>1</v>
      </c>
      <c r="B34" s="32" t="s">
        <v>36</v>
      </c>
      <c r="C34" s="26">
        <v>85763.478952029021</v>
      </c>
      <c r="D34" s="26">
        <v>8624.1568289200004</v>
      </c>
      <c r="E34" s="34"/>
    </row>
    <row r="35" spans="1:5" ht="20.100000000000001" customHeight="1">
      <c r="A35" s="22">
        <v>2</v>
      </c>
      <c r="B35" s="32" t="s">
        <v>37</v>
      </c>
      <c r="C35" s="24">
        <v>30807.963319974126</v>
      </c>
      <c r="D35" s="24">
        <v>2122.0244157299444</v>
      </c>
      <c r="E35" s="62" t="s">
        <v>83</v>
      </c>
    </row>
    <row r="36" spans="1:5" ht="20.100000000000001" customHeight="1">
      <c r="A36" s="15" t="s">
        <v>23</v>
      </c>
      <c r="B36" s="16" t="s">
        <v>38</v>
      </c>
      <c r="C36" s="17">
        <f t="shared" ref="C36:D36" si="17">SUM(C38:C42)</f>
        <v>477584.42708201741</v>
      </c>
      <c r="D36" s="17">
        <f t="shared" si="17"/>
        <v>54554.007254345503</v>
      </c>
    </row>
    <row r="37" spans="1:5" s="21" customFormat="1" ht="20.100000000000001" customHeight="1">
      <c r="A37" s="18"/>
      <c r="B37" s="19" t="s">
        <v>8</v>
      </c>
      <c r="C37" s="35">
        <f t="shared" ref="C37:D37" si="18">C36/C10</f>
        <v>0.15658438642663297</v>
      </c>
      <c r="D37" s="35">
        <f t="shared" si="18"/>
        <v>0.36951347470188195</v>
      </c>
      <c r="E37" s="4"/>
    </row>
    <row r="38" spans="1:5" ht="20.100000000000001" customHeight="1">
      <c r="A38" s="22">
        <v>1</v>
      </c>
      <c r="B38" s="32" t="s">
        <v>39</v>
      </c>
      <c r="C38" s="26">
        <v>378941.85008591908</v>
      </c>
      <c r="D38" s="26">
        <v>34107.950788900001</v>
      </c>
      <c r="E38" s="21"/>
    </row>
    <row r="39" spans="1:5" ht="20.100000000000001" customHeight="1">
      <c r="A39" s="22">
        <v>2</v>
      </c>
      <c r="B39" s="32" t="s">
        <v>40</v>
      </c>
      <c r="C39" s="26">
        <v>62384.555249985773</v>
      </c>
      <c r="D39" s="26">
        <v>22353.72457666805</v>
      </c>
    </row>
    <row r="40" spans="1:5" ht="20.100000000000001" customHeight="1">
      <c r="A40" s="22">
        <v>3</v>
      </c>
      <c r="B40" s="32" t="s">
        <v>41</v>
      </c>
      <c r="C40" s="26">
        <v>29578.10945860725</v>
      </c>
      <c r="D40" s="26">
        <v>-3550.8881090745863</v>
      </c>
    </row>
    <row r="41" spans="1:5" ht="20.100000000000001" customHeight="1">
      <c r="A41" s="22">
        <v>4</v>
      </c>
      <c r="B41" s="32" t="s">
        <v>42</v>
      </c>
      <c r="C41" s="26">
        <v>612.93175734585316</v>
      </c>
      <c r="D41" s="26">
        <v>28.939947696416226</v>
      </c>
    </row>
    <row r="42" spans="1:5" ht="20.100000000000001" customHeight="1">
      <c r="A42" s="22">
        <v>5</v>
      </c>
      <c r="B42" s="32" t="s">
        <v>43</v>
      </c>
      <c r="C42" s="26">
        <v>6066.9805301594206</v>
      </c>
      <c r="D42" s="26">
        <v>1614.280050155616</v>
      </c>
    </row>
    <row r="43" spans="1:5" ht="20.100000000000001" customHeight="1">
      <c r="A43" s="15" t="s">
        <v>44</v>
      </c>
      <c r="B43" s="16" t="s">
        <v>45</v>
      </c>
      <c r="C43" s="17">
        <f t="shared" ref="C43:D43" si="19">C44+C45</f>
        <v>76998.574185485602</v>
      </c>
      <c r="D43" s="17">
        <f t="shared" si="19"/>
        <v>3404.8255918394152</v>
      </c>
    </row>
    <row r="44" spans="1:5" ht="20.100000000000001" customHeight="1">
      <c r="A44" s="22">
        <v>1</v>
      </c>
      <c r="B44" s="32" t="s">
        <v>46</v>
      </c>
      <c r="C44" s="26">
        <v>58672.13950220104</v>
      </c>
      <c r="D44" s="26">
        <v>2523.3904442670964</v>
      </c>
    </row>
    <row r="45" spans="1:5" ht="20.100000000000001" customHeight="1">
      <c r="A45" s="22">
        <v>2</v>
      </c>
      <c r="B45" s="32" t="s">
        <v>47</v>
      </c>
      <c r="C45" s="26">
        <v>18326.434683284559</v>
      </c>
      <c r="D45" s="26">
        <v>881.43514757231856</v>
      </c>
    </row>
    <row r="46" spans="1:5" ht="20.100000000000001" customHeight="1">
      <c r="A46" s="15" t="s">
        <v>48</v>
      </c>
      <c r="B46" s="16" t="s">
        <v>49</v>
      </c>
      <c r="C46" s="17">
        <v>1512.4506742026372</v>
      </c>
      <c r="D46" s="17">
        <v>73.210925117214586</v>
      </c>
      <c r="E46" s="62" t="s">
        <v>84</v>
      </c>
    </row>
    <row r="47" spans="1:5" s="10" customFormat="1" ht="20.100000000000001" customHeight="1">
      <c r="A47" s="7" t="s">
        <v>50</v>
      </c>
      <c r="B47" s="8" t="s">
        <v>51</v>
      </c>
      <c r="C47" s="9">
        <f t="shared" ref="C47:D47" si="20">C49+C51</f>
        <v>228228.60588428401</v>
      </c>
      <c r="D47" s="9">
        <f t="shared" si="20"/>
        <v>22779.806071680698</v>
      </c>
    </row>
    <row r="48" spans="1:5" s="38" customFormat="1" ht="20.100000000000001" customHeight="1">
      <c r="A48" s="36"/>
      <c r="B48" s="12" t="s">
        <v>8</v>
      </c>
      <c r="C48" s="37">
        <f t="shared" ref="C48:D48" si="21">C47/C10</f>
        <v>7.4828730148814485E-2</v>
      </c>
      <c r="D48" s="37">
        <f t="shared" si="21"/>
        <v>0.15429563689679773</v>
      </c>
    </row>
    <row r="49" spans="1:5" s="34" customFormat="1" ht="20.100000000000001" customHeight="1">
      <c r="A49" s="33">
        <v>1</v>
      </c>
      <c r="B49" s="39" t="s">
        <v>85</v>
      </c>
      <c r="C49" s="40">
        <f t="shared" ref="C49:D49" si="22">C10*7%</f>
        <v>213500.9157596</v>
      </c>
      <c r="D49" s="40">
        <f t="shared" si="22"/>
        <v>10334.61773183</v>
      </c>
      <c r="E49" s="62" t="s">
        <v>86</v>
      </c>
    </row>
    <row r="50" spans="1:5" s="34" customFormat="1" ht="20.100000000000001" customHeight="1">
      <c r="A50" s="33"/>
      <c r="B50" s="19" t="s">
        <v>8</v>
      </c>
      <c r="C50" s="41">
        <f t="shared" ref="C50:D50" si="23">C49/C10</f>
        <v>7.0000000000000007E-2</v>
      </c>
      <c r="D50" s="41">
        <f t="shared" si="23"/>
        <v>7.0000000000000007E-2</v>
      </c>
    </row>
    <row r="51" spans="1:5" s="34" customFormat="1" ht="20.100000000000001" customHeight="1">
      <c r="A51" s="33">
        <v>2</v>
      </c>
      <c r="B51" s="39" t="s">
        <v>66</v>
      </c>
      <c r="C51" s="48">
        <f>SUM(C52:C55)</f>
        <v>14727.690124684001</v>
      </c>
      <c r="D51" s="48">
        <f t="shared" ref="D51" si="24">SUM(D52:D55)</f>
        <v>12445.188339850698</v>
      </c>
    </row>
    <row r="52" spans="1:5" s="34" customFormat="1" ht="20.100000000000001" customHeight="1">
      <c r="A52" s="22" t="s">
        <v>12</v>
      </c>
      <c r="B52" s="32" t="s">
        <v>67</v>
      </c>
      <c r="C52" s="26">
        <v>0</v>
      </c>
      <c r="D52" s="26">
        <v>0</v>
      </c>
    </row>
    <row r="53" spans="1:5" s="34" customFormat="1" ht="20.100000000000001" customHeight="1">
      <c r="A53" s="22" t="s">
        <v>12</v>
      </c>
      <c r="B53" s="32" t="s">
        <v>68</v>
      </c>
      <c r="C53" s="26">
        <v>0</v>
      </c>
      <c r="D53" s="26">
        <v>0</v>
      </c>
    </row>
    <row r="54" spans="1:5" s="34" customFormat="1" ht="20.100000000000001" customHeight="1">
      <c r="A54" s="22" t="s">
        <v>12</v>
      </c>
      <c r="B54" s="32" t="s">
        <v>69</v>
      </c>
      <c r="C54" s="26">
        <v>915.0039246839998</v>
      </c>
      <c r="D54" s="26">
        <v>44.291218850699998</v>
      </c>
      <c r="E54" s="62" t="s">
        <v>84</v>
      </c>
    </row>
    <row r="55" spans="1:5" ht="20.100000000000001" customHeight="1">
      <c r="A55" s="22" t="s">
        <v>12</v>
      </c>
      <c r="B55" s="32" t="s">
        <v>70</v>
      </c>
      <c r="C55" s="26">
        <v>13812.6862</v>
      </c>
      <c r="D55" s="26">
        <v>12400.897120999998</v>
      </c>
      <c r="E55" s="62" t="s">
        <v>87</v>
      </c>
    </row>
    <row r="56" spans="1:5" s="10" customFormat="1" ht="20.100000000000001" customHeight="1">
      <c r="A56" s="7" t="s">
        <v>72</v>
      </c>
      <c r="B56" s="8" t="s">
        <v>73</v>
      </c>
      <c r="C56" s="9">
        <f t="shared" ref="C56:D56" si="25">(C10-C13)*2%</f>
        <v>52784.227906019994</v>
      </c>
      <c r="D56" s="9">
        <f t="shared" si="25"/>
        <v>2231.8444938399998</v>
      </c>
    </row>
    <row r="57" spans="1:5" s="10" customFormat="1" ht="20.100000000000001" customHeight="1">
      <c r="A57" s="7" t="s">
        <v>74</v>
      </c>
      <c r="B57" s="8" t="s">
        <v>88</v>
      </c>
      <c r="C57" s="9">
        <f>C5-C30-C47-C56</f>
        <v>95207.630233212738</v>
      </c>
      <c r="D57" s="9">
        <f t="shared" ref="D57" si="26">D5-D30-D47-D56</f>
        <v>13632.834832634926</v>
      </c>
    </row>
    <row r="58" spans="1:5" s="10" customFormat="1" ht="20.100000000000001" customHeight="1">
      <c r="A58" s="7"/>
      <c r="B58" s="43" t="s">
        <v>76</v>
      </c>
      <c r="C58" s="44">
        <f t="shared" ref="C58:D58" si="27">(C20+C30+C47+C56-C16)/C15</f>
        <v>0.96248975187927521</v>
      </c>
      <c r="D58" s="44">
        <f t="shared" si="27"/>
        <v>0.86293907378420054</v>
      </c>
    </row>
    <row r="59" spans="1:5" s="10" customFormat="1" ht="20.100000000000001" hidden="1" customHeight="1">
      <c r="A59" s="7"/>
      <c r="B59" s="43" t="s">
        <v>76</v>
      </c>
      <c r="C59" s="49">
        <v>0.96099999999999997</v>
      </c>
      <c r="D59" s="50"/>
    </row>
    <row r="60" spans="1:5" ht="20.100000000000001" hidden="1" customHeight="1">
      <c r="C60" s="4">
        <f>(C20+C30+C47+C56-C16+D20+D30+D47+D56-D16)/C15</f>
        <v>0.99630642086522503</v>
      </c>
    </row>
    <row r="61" spans="1:5" s="54" customFormat="1" ht="20.100000000000001" hidden="1" customHeight="1">
      <c r="A61" s="51" t="s">
        <v>89</v>
      </c>
      <c r="B61" s="52"/>
      <c r="C61" s="53">
        <v>0</v>
      </c>
      <c r="D61" s="53">
        <v>0</v>
      </c>
    </row>
    <row r="62" spans="1:5" s="54" customFormat="1" ht="20.100000000000001" hidden="1" customHeight="1">
      <c r="A62" s="55" t="s">
        <v>90</v>
      </c>
      <c r="B62" s="52" t="s">
        <v>91</v>
      </c>
      <c r="C62" s="53">
        <f t="shared" ref="C62:D62" si="28">C57+C61</f>
        <v>95207.630233212738</v>
      </c>
      <c r="D62" s="53">
        <f t="shared" si="28"/>
        <v>13632.834832634926</v>
      </c>
    </row>
    <row r="63" spans="1:5" s="54" customFormat="1" ht="20.100000000000001" hidden="1" customHeight="1">
      <c r="A63" s="55"/>
      <c r="B63" s="56" t="s">
        <v>76</v>
      </c>
      <c r="C63" s="57">
        <f t="shared" ref="C63:D63" si="29">(C20+C30+C47+C56-C61-C16)/C15</f>
        <v>0.96248975187927521</v>
      </c>
      <c r="D63" s="57">
        <f t="shared" si="29"/>
        <v>0.86293907378420054</v>
      </c>
    </row>
    <row r="64" spans="1:5" s="54" customFormat="1" ht="20.100000000000001" hidden="1" customHeight="1">
      <c r="A64" s="55"/>
      <c r="B64" s="56" t="s">
        <v>76</v>
      </c>
      <c r="C64" s="58">
        <v>0.96099999999999997</v>
      </c>
      <c r="D64" s="59"/>
    </row>
    <row r="65" spans="3:3" ht="20.100000000000001" customHeight="1">
      <c r="C65" s="46"/>
    </row>
    <row r="66" spans="3:3" ht="20.100000000000001" customHeight="1"/>
    <row r="67" spans="3:3" ht="20.100000000000001" customHeight="1"/>
    <row r="68" spans="3:3" ht="20.100000000000001" customHeight="1"/>
  </sheetData>
  <mergeCells count="1">
    <mergeCell ref="C3:D3"/>
  </mergeCells>
  <pageMargins left="0.70866141732283472" right="0.70866141732283472" top="0.74803149606299213" bottom="0.74803149606299213" header="0.31496062992125984" footer="0.31496062992125984"/>
  <pageSetup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BaoViet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Thai Duong</dc:creator>
  <cp:keywords/>
  <dc:description/>
  <cp:lastModifiedBy>Nguyễn Thanh Vân (BVGI_PGĐ PT Ban Ban BHYT)</cp:lastModifiedBy>
  <cp:revision/>
  <dcterms:created xsi:type="dcterms:W3CDTF">2026-01-26T05:19:15Z</dcterms:created>
  <dcterms:modified xsi:type="dcterms:W3CDTF">2026-02-26T11:09:22Z</dcterms:modified>
  <cp:category/>
  <cp:contentStatus/>
</cp:coreProperties>
</file>